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810" documentId="13_ncr:1_{C4DF0E6E-FA3F-6D49-AAC4-27CBAFD82E60}" xr6:coauthVersionLast="47" xr6:coauthVersionMax="47" xr10:uidLastSave="{65C7CE55-5EDA-4748-BABA-19A692D6A587}"/>
  <bookViews>
    <workbookView xWindow="8160" yWindow="22740" windowWidth="30240" windowHeight="17480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7" l="1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D32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D30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D29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R31" i="7"/>
  <c r="M31" i="7"/>
  <c r="D27" i="7"/>
  <c r="E27" i="7"/>
  <c r="F27" i="7"/>
  <c r="G27" i="7"/>
  <c r="H27" i="7"/>
  <c r="D26" i="7"/>
  <c r="E26" i="7"/>
  <c r="F26" i="7"/>
  <c r="G26" i="7"/>
  <c r="H26" i="7"/>
  <c r="J27" i="7"/>
  <c r="K27" i="7"/>
  <c r="L27" i="7"/>
  <c r="M27" i="7"/>
  <c r="N27" i="7"/>
  <c r="O27" i="7"/>
  <c r="P27" i="7"/>
  <c r="Q27" i="7"/>
  <c r="R27" i="7"/>
  <c r="J26" i="7"/>
  <c r="K26" i="7"/>
  <c r="L26" i="7"/>
  <c r="M26" i="7"/>
  <c r="N26" i="7"/>
  <c r="O26" i="7"/>
  <c r="P26" i="7"/>
  <c r="Q26" i="7"/>
  <c r="R26" i="7"/>
  <c r="D25" i="7"/>
  <c r="E25" i="7"/>
  <c r="F25" i="7"/>
  <c r="G25" i="7"/>
  <c r="H25" i="7"/>
  <c r="J25" i="7"/>
  <c r="K25" i="7"/>
  <c r="L25" i="7"/>
  <c r="M25" i="7"/>
  <c r="N25" i="7"/>
  <c r="O25" i="7"/>
  <c r="P25" i="7"/>
  <c r="Q25" i="7"/>
  <c r="R25" i="7"/>
  <c r="I25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D24" i="7"/>
  <c r="D23" i="7"/>
  <c r="E23" i="7"/>
  <c r="F23" i="7"/>
  <c r="G23" i="7"/>
  <c r="H23" i="7"/>
  <c r="J23" i="7"/>
  <c r="K23" i="7"/>
  <c r="L23" i="7"/>
  <c r="M23" i="7"/>
  <c r="N23" i="7"/>
  <c r="O23" i="7"/>
  <c r="P23" i="7"/>
  <c r="Q23" i="7"/>
  <c r="R23" i="7"/>
  <c r="D22" i="7"/>
  <c r="E22" i="7"/>
  <c r="F22" i="7"/>
  <c r="G22" i="7"/>
  <c r="H22" i="7"/>
  <c r="J22" i="7"/>
  <c r="K22" i="7"/>
  <c r="L22" i="7"/>
  <c r="M22" i="7"/>
  <c r="N22" i="7"/>
  <c r="O22" i="7"/>
  <c r="P22" i="7"/>
  <c r="Q22" i="7"/>
  <c r="R22" i="7"/>
  <c r="I22" i="7"/>
  <c r="I26" i="7" s="1"/>
  <c r="I27" i="7" s="1"/>
  <c r="I23" i="7"/>
  <c r="O21" i="7"/>
  <c r="L21" i="7"/>
  <c r="H21" i="7"/>
  <c r="D21" i="7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  <c r="K31" i="7" l="1"/>
  <c r="J31" i="7"/>
  <c r="I31" i="7"/>
  <c r="D31" i="7"/>
  <c r="O31" i="7"/>
  <c r="L31" i="7"/>
  <c r="F31" i="7"/>
  <c r="E31" i="7"/>
  <c r="G31" i="7"/>
  <c r="H31" i="7"/>
  <c r="P31" i="7"/>
  <c r="Q31" i="7"/>
  <c r="N31" i="7"/>
</calcChain>
</file>

<file path=xl/sharedStrings.xml><?xml version="1.0" encoding="utf-8"?>
<sst xmlns="http://schemas.openxmlformats.org/spreadsheetml/2006/main" count="388" uniqueCount="82">
  <si>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</si>
  <si>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</si>
  <si>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</si>
  <si>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</si>
  <si>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</si>
  <si>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</si>
  <si>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</si>
  <si>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</si>
  <si>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</si>
  <si>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</si>
  <si>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</si>
  <si>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</si>
  <si>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</si>
  <si>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</si>
  <si>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</si>
  <si>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</si>
  <si>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</si>
  <si>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</si>
  <si>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</si>
  <si>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</si>
  <si>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</si>
  <si>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</si>
  <si>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</si>
  <si>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</si>
  <si>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</si>
  <si>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</si>
  <si>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</si>
  <si>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</si>
  <si>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</si>
  <si>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</si>
  <si>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</si>
  <si>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</si>
  <si>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</si>
  <si>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</si>
  <si>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</si>
  <si>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</si>
  <si>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</si>
  <si>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</si>
  <si>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</si>
  <si>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</si>
  <si>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</si>
  <si>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</si>
  <si>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</si>
  <si>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</si>
  <si>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</si>
  <si>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</si>
  <si>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</si>
  <si>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</si>
  <si>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</si>
  <si>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</si>
  <si>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</si>
  <si>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</si>
  <si>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</si>
  <si>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</si>
  <si>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</si>
  <si>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</si>
  <si>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</si>
  <si>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</si>
  <si>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</si>
  <si>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</si>
  <si>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</si>
  <si>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</si>
  <si>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</si>
  <si>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</si>
  <si>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</si>
  <si>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</si>
  <si>
    <t>Rationale</t>
  </si>
  <si>
    <t>Learning modes</t>
  </si>
  <si>
    <t>Process</t>
  </si>
  <si>
    <t>Criteria</t>
  </si>
  <si>
    <t>Visual graphics</t>
  </si>
  <si>
    <t>connections score</t>
  </si>
  <si>
    <t>0.25 * conn score</t>
  </si>
  <si>
    <t>colW</t>
  </si>
  <si>
    <t>CatW</t>
  </si>
  <si>
    <t>0.75*(colW+CatW)</t>
  </si>
  <si>
    <t>Impact score</t>
  </si>
  <si>
    <t>medium conn (left to mid)</t>
  </si>
  <si>
    <t>medium conn (mid to right)</t>
  </si>
  <si>
    <t>strong Conn (left to mid)</t>
  </si>
  <si>
    <t>strong Conn (mid to right)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</si>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</sst>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3" fillId="0" borderId="0" xfId="0" applyFont="1"/>
    <xf numFmtId="0" fontId="3" fillId="0" borderId="2" xfId="0" applyFont="1" applyBorder="1"/>
    <xf numFmtId="0" fontId="7" fillId="5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textRotation="90"/>
    </xf>
    <xf numFmtId="0" fontId="2" fillId="0" borderId="22" xfId="0" applyFont="1" applyBorder="1" applyAlignment="1">
      <alignment textRotation="90"/>
    </xf>
    <xf numFmtId="0" fontId="2" fillId="0" borderId="23" xfId="0" applyFont="1" applyBorder="1" applyAlignment="1">
      <alignment textRotation="90"/>
    </xf>
    <xf numFmtId="0" fontId="13" fillId="0" borderId="24" xfId="0" applyFont="1" applyBorder="1" applyAlignment="1">
      <alignment horizontal="left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6" fillId="3" borderId="7" xfId="0" applyFont="1" applyFill="1" applyBorder="1" applyAlignment="1">
      <alignment horizontal="center" vertical="center" wrapText="1"/>
    </xf>
    <xf numFmtId="0" fontId="16" fillId="3" borderId="8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4" fillId="5" borderId="11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4" fillId="5" borderId="12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3" fillId="0" borderId="25" xfId="0" applyFont="1" applyBorder="1" applyAlignment="1">
      <alignment horizontal="left" vertical="center" wrapText="1"/>
    </xf>
    <xf numFmtId="0" fontId="14" fillId="5" borderId="13" xfId="0" applyFont="1" applyFill="1" applyBorder="1" applyAlignment="1">
      <alignment horizontal="center" vertical="center" wrapText="1"/>
    </xf>
    <xf numFmtId="0" fontId="15" fillId="4" borderId="14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4" fillId="5" borderId="15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 vertical="center" wrapText="1"/>
    </xf>
    <xf numFmtId="0" fontId="15" fillId="4" borderId="15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6" fillId="3" borderId="15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left" vertical="center" wrapText="1"/>
    </xf>
    <xf numFmtId="0" fontId="15" fillId="4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5" fillId="4" borderId="23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14" fillId="5" borderId="22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16" fillId="3" borderId="13" xfId="0" applyFont="1" applyFill="1" applyBorder="1" applyAlignment="1">
      <alignment horizontal="center" vertical="center" wrapText="1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2" fillId="0" borderId="0" xfId="0" applyFont="1"/>
    <xf numFmtId="0" fontId="17" fillId="2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3" fillId="0" borderId="6" xfId="0" applyFont="1" applyBorder="1"/>
    <xf numFmtId="0" fontId="3" fillId="0" borderId="10" xfId="0" applyFont="1" applyBorder="1" applyAlignment="1">
      <alignment textRotation="90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4" fillId="2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textRotation="90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18" xfId="0" applyFont="1" applyBorder="1"/>
    <xf numFmtId="0" fontId="9" fillId="6" borderId="29" xfId="0" applyFont="1" applyFill="1" applyBorder="1" applyAlignment="1">
      <alignment horizontal="left" vertical="center" wrapText="1"/>
    </xf>
    <xf numFmtId="0" fontId="9" fillId="7" borderId="30" xfId="0" applyFont="1" applyFill="1" applyBorder="1" applyAlignment="1">
      <alignment horizontal="left" vertical="center" wrapText="1"/>
    </xf>
    <xf numFmtId="0" fontId="9" fillId="6" borderId="30" xfId="0" applyFont="1" applyFill="1" applyBorder="1" applyAlignment="1">
      <alignment horizontal="left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9" fillId="7" borderId="26" xfId="0" applyFont="1" applyFill="1" applyBorder="1" applyAlignment="1">
      <alignment horizontal="left" vertical="center" wrapText="1"/>
    </xf>
    <xf numFmtId="0" fontId="1" fillId="0" borderId="22" xfId="0" applyFont="1" applyBorder="1" applyAlignment="1">
      <alignment textRotation="90"/>
    </xf>
    <xf numFmtId="0" fontId="12" fillId="0" borderId="7" xfId="0" applyFont="1" applyBorder="1" applyAlignment="1">
      <alignment horizontal="center" vertical="center" textRotation="90"/>
    </xf>
    <xf numFmtId="0" fontId="12" fillId="0" borderId="10" xfId="0" applyFont="1" applyBorder="1" applyAlignment="1">
      <alignment horizontal="center" vertical="center" textRotation="90"/>
    </xf>
    <xf numFmtId="0" fontId="12" fillId="0" borderId="13" xfId="0" applyFont="1" applyBorder="1" applyAlignment="1">
      <alignment horizontal="center" vertical="center" textRotation="90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10" xfId="0" applyFont="1" applyBorder="1"/>
    <xf numFmtId="0" fontId="12" fillId="0" borderId="13" xfId="0" applyFont="1" applyBorder="1"/>
    <xf numFmtId="0" fontId="12" fillId="0" borderId="21" xfId="0" applyFont="1" applyBorder="1"/>
    <xf numFmtId="0" fontId="18" fillId="0" borderId="3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3" fillId="8" borderId="0" xfId="0" applyFont="1" applyFill="1"/>
    <xf numFmtId="0" fontId="3" fillId="6" borderId="0" xfId="0" applyFont="1" applyFill="1"/>
    <xf numFmtId="0" fontId="3" fillId="9" borderId="0" xfId="0" applyFont="1" applyFill="1"/>
    <xf numFmtId="2" fontId="0" fillId="0" borderId="0" xfId="0" applyNumberFormat="1"/>
    <xf numFmtId="0" fontId="3" fillId="8" borderId="3" xfId="0" applyFont="1" applyFill="1" applyBorder="1"/>
    <xf numFmtId="0" fontId="3" fillId="8" borderId="0" xfId="0" applyFont="1" applyFill="1" applyBorder="1"/>
    <xf numFmtId="0" fontId="3" fillId="8" borderId="31" xfId="0" applyFont="1" applyFill="1" applyBorder="1"/>
    <xf numFmtId="0" fontId="3" fillId="6" borderId="3" xfId="0" applyFont="1" applyFill="1" applyBorder="1"/>
    <xf numFmtId="0" fontId="3" fillId="6" borderId="0" xfId="0" applyFont="1" applyFill="1" applyBorder="1"/>
    <xf numFmtId="0" fontId="3" fillId="6" borderId="31" xfId="0" applyFont="1" applyFill="1" applyBorder="1"/>
    <xf numFmtId="0" fontId="3" fillId="0" borderId="3" xfId="0" applyFont="1" applyBorder="1"/>
    <xf numFmtId="0" fontId="3" fillId="0" borderId="0" xfId="0" applyFont="1" applyBorder="1"/>
    <xf numFmtId="0" fontId="3" fillId="0" borderId="31" xfId="0" applyFont="1" applyBorder="1"/>
    <xf numFmtId="0" fontId="3" fillId="9" borderId="3" xfId="0" applyFont="1" applyFill="1" applyBorder="1"/>
    <xf numFmtId="0" fontId="3" fillId="9" borderId="0" xfId="0" applyFont="1" applyFill="1" applyBorder="1"/>
    <xf numFmtId="0" fontId="3" fillId="9" borderId="31" xfId="0" applyFont="1" applyFill="1" applyBorder="1"/>
    <xf numFmtId="0" fontId="20" fillId="0" borderId="32" xfId="0" applyFont="1" applyBorder="1" applyAlignment="1">
      <alignment horizontal="center"/>
    </xf>
    <xf numFmtId="0" fontId="20" fillId="0" borderId="33" xfId="0" applyFont="1" applyBorder="1" applyAlignment="1">
      <alignment horizontal="center"/>
    </xf>
    <xf numFmtId="0" fontId="20" fillId="0" borderId="34" xfId="0" applyFont="1" applyBorder="1" applyAlignment="1">
      <alignment horizontal="center"/>
    </xf>
    <xf numFmtId="0" fontId="3" fillId="9" borderId="4" xfId="0" applyFont="1" applyFill="1" applyBorder="1"/>
    <xf numFmtId="0" fontId="3" fillId="9" borderId="5" xfId="0" applyFont="1" applyFill="1" applyBorder="1"/>
    <xf numFmtId="0" fontId="3" fillId="9" borderId="17" xfId="0" applyFont="1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32"/>
  <sheetViews>
    <sheetView tabSelected="1" topLeftCell="A11" zoomScale="130" zoomScaleNormal="130" workbookViewId="0">
      <selection activeCell="F34" sqref="F34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4" width="6.1640625" style="1" customWidth="1"/>
    <col min="5" max="8" width="4.1640625" style="1" customWidth="1"/>
    <col min="9" max="9" width="7.83203125" style="1" bestFit="1" customWidth="1"/>
    <col min="10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01"/>
      <c r="C4" s="102"/>
      <c r="D4" s="105" t="s">
        <v>48</v>
      </c>
      <c r="E4" s="106"/>
      <c r="F4" s="106"/>
      <c r="G4" s="107"/>
      <c r="H4" s="105" t="s">
        <v>27</v>
      </c>
      <c r="I4" s="106"/>
      <c r="J4" s="106"/>
      <c r="K4" s="107"/>
      <c r="L4" s="105" t="s">
        <v>28</v>
      </c>
      <c r="M4" s="106"/>
      <c r="N4" s="107"/>
      <c r="O4" s="105" t="s">
        <v>29</v>
      </c>
      <c r="P4" s="106"/>
      <c r="Q4" s="106"/>
      <c r="R4" s="107"/>
    </row>
    <row r="5" spans="2:27" ht="139.75" customHeight="1" thickBot="1" x14ac:dyDescent="0.25">
      <c r="B5" s="103"/>
      <c r="C5" s="104"/>
      <c r="D5" s="12" t="s">
        <v>7</v>
      </c>
      <c r="E5" s="97" t="s">
        <v>66</v>
      </c>
      <c r="F5" s="13" t="s">
        <v>21</v>
      </c>
      <c r="G5" s="14" t="s">
        <v>16</v>
      </c>
      <c r="H5" s="12" t="s">
        <v>9</v>
      </c>
      <c r="I5" s="13" t="s">
        <v>12</v>
      </c>
      <c r="J5" s="13" t="s">
        <v>22</v>
      </c>
      <c r="K5" s="14" t="s">
        <v>10</v>
      </c>
      <c r="L5" s="12" t="s">
        <v>13</v>
      </c>
      <c r="M5" s="13" t="s">
        <v>6</v>
      </c>
      <c r="N5" s="14" t="s">
        <v>17</v>
      </c>
      <c r="O5" s="12" t="s">
        <v>11</v>
      </c>
      <c r="P5" s="13" t="s">
        <v>14</v>
      </c>
      <c r="Q5" s="13" t="s">
        <v>15</v>
      </c>
      <c r="R5" s="14" t="s">
        <v>23</v>
      </c>
      <c r="S5" s="79" t="s">
        <v>47</v>
      </c>
      <c r="T5" s="88" t="s">
        <v>50</v>
      </c>
      <c r="U5" s="88"/>
    </row>
    <row r="6" spans="2:27" ht="22" customHeight="1" x14ac:dyDescent="0.2">
      <c r="B6" s="98" t="s">
        <v>1</v>
      </c>
      <c r="C6" s="15" t="s">
        <v>32</v>
      </c>
      <c r="D6" s="16" t="s">
        <v>25</v>
      </c>
      <c r="E6" s="17" t="s">
        <v>24</v>
      </c>
      <c r="F6" s="17" t="s">
        <v>24</v>
      </c>
      <c r="G6" s="18" t="s">
        <v>26</v>
      </c>
      <c r="H6" s="19" t="s">
        <v>24</v>
      </c>
      <c r="I6" s="17" t="s">
        <v>24</v>
      </c>
      <c r="J6" s="20" t="s">
        <v>26</v>
      </c>
      <c r="K6" s="18" t="s">
        <v>25</v>
      </c>
      <c r="L6" s="21" t="s">
        <v>26</v>
      </c>
      <c r="M6" s="22" t="s">
        <v>26</v>
      </c>
      <c r="N6" s="18" t="s">
        <v>26</v>
      </c>
      <c r="O6" s="19" t="s">
        <v>25</v>
      </c>
      <c r="P6" s="20" t="s">
        <v>26</v>
      </c>
      <c r="Q6" s="22" t="s">
        <v>26</v>
      </c>
      <c r="R6" s="18" t="s">
        <v>26</v>
      </c>
      <c r="S6" s="111">
        <v>10</v>
      </c>
      <c r="T6">
        <v>20</v>
      </c>
    </row>
    <row r="7" spans="2:27" ht="22" customHeight="1" x14ac:dyDescent="0.2">
      <c r="B7" s="108"/>
      <c r="C7" s="23" t="s">
        <v>2</v>
      </c>
      <c r="D7" s="24" t="s">
        <v>26</v>
      </c>
      <c r="E7" s="25" t="s">
        <v>24</v>
      </c>
      <c r="F7" s="26" t="s">
        <v>26</v>
      </c>
      <c r="G7" s="27" t="s">
        <v>26</v>
      </c>
      <c r="H7" s="28" t="s">
        <v>25</v>
      </c>
      <c r="I7" s="26" t="s">
        <v>24</v>
      </c>
      <c r="J7" s="25" t="s">
        <v>26</v>
      </c>
      <c r="K7" s="29" t="s">
        <v>26</v>
      </c>
      <c r="L7" s="30" t="s">
        <v>24</v>
      </c>
      <c r="M7" s="31" t="s">
        <v>24</v>
      </c>
      <c r="N7" s="32" t="s">
        <v>26</v>
      </c>
      <c r="O7" s="33" t="s">
        <v>24</v>
      </c>
      <c r="P7" s="26" t="s">
        <v>25</v>
      </c>
      <c r="Q7" s="34" t="s">
        <v>26</v>
      </c>
      <c r="R7" s="27" t="s">
        <v>26</v>
      </c>
      <c r="S7" s="111"/>
      <c r="T7">
        <v>30</v>
      </c>
    </row>
    <row r="8" spans="2:27" ht="22" customHeight="1" thickBot="1" x14ac:dyDescent="0.25">
      <c r="B8" s="109"/>
      <c r="C8" s="35" t="s">
        <v>33</v>
      </c>
      <c r="D8" s="36" t="s">
        <v>24</v>
      </c>
      <c r="E8" s="37" t="s">
        <v>25</v>
      </c>
      <c r="F8" s="38" t="s">
        <v>26</v>
      </c>
      <c r="G8" s="39" t="s">
        <v>24</v>
      </c>
      <c r="H8" s="36" t="s">
        <v>24</v>
      </c>
      <c r="I8" s="37" t="s">
        <v>24</v>
      </c>
      <c r="J8" s="40" t="s">
        <v>25</v>
      </c>
      <c r="K8" s="41" t="s">
        <v>25</v>
      </c>
      <c r="L8" s="42" t="s">
        <v>26</v>
      </c>
      <c r="M8" s="40" t="s">
        <v>24</v>
      </c>
      <c r="N8" s="39" t="s">
        <v>25</v>
      </c>
      <c r="O8" s="42" t="s">
        <v>24</v>
      </c>
      <c r="P8" s="38" t="s">
        <v>26</v>
      </c>
      <c r="Q8" s="38" t="s">
        <v>25</v>
      </c>
      <c r="R8" s="41" t="s">
        <v>26</v>
      </c>
      <c r="S8" s="111"/>
      <c r="T8">
        <v>50</v>
      </c>
      <c r="W8" s="2"/>
      <c r="X8" s="2"/>
      <c r="Y8" s="68"/>
      <c r="AA8" s="69"/>
    </row>
    <row r="9" spans="2:27" ht="22" customHeight="1" x14ac:dyDescent="0.2">
      <c r="B9" s="98" t="s">
        <v>3</v>
      </c>
      <c r="C9" s="15" t="s">
        <v>4</v>
      </c>
      <c r="D9" s="19" t="s">
        <v>26</v>
      </c>
      <c r="E9" s="17" t="s">
        <v>24</v>
      </c>
      <c r="F9" s="20" t="s">
        <v>26</v>
      </c>
      <c r="G9" s="18" t="s">
        <v>25</v>
      </c>
      <c r="H9" s="19" t="s">
        <v>24</v>
      </c>
      <c r="I9" s="17" t="s">
        <v>24</v>
      </c>
      <c r="J9" s="17" t="s">
        <v>26</v>
      </c>
      <c r="K9" s="43" t="s">
        <v>26</v>
      </c>
      <c r="L9" s="44" t="s">
        <v>26</v>
      </c>
      <c r="M9" s="45" t="s">
        <v>26</v>
      </c>
      <c r="N9" s="18" t="s">
        <v>25</v>
      </c>
      <c r="O9" s="16" t="s">
        <v>24</v>
      </c>
      <c r="P9" s="20" t="s">
        <v>25</v>
      </c>
      <c r="Q9" s="22" t="s">
        <v>26</v>
      </c>
      <c r="R9" s="43" t="s">
        <v>26</v>
      </c>
      <c r="S9" s="111">
        <v>50</v>
      </c>
      <c r="T9">
        <v>20</v>
      </c>
      <c r="W9" s="2"/>
      <c r="X9" s="2"/>
      <c r="Y9" s="70"/>
      <c r="AA9" s="71"/>
    </row>
    <row r="10" spans="2:27" ht="22" customHeight="1" x14ac:dyDescent="0.2">
      <c r="B10" s="108"/>
      <c r="C10" s="23" t="s">
        <v>34</v>
      </c>
      <c r="D10" s="28" t="s">
        <v>26</v>
      </c>
      <c r="E10" s="26" t="s">
        <v>24</v>
      </c>
      <c r="F10" s="34" t="s">
        <v>24</v>
      </c>
      <c r="G10" s="27" t="s">
        <v>24</v>
      </c>
      <c r="H10" s="24" t="s">
        <v>26</v>
      </c>
      <c r="I10" s="25" t="s">
        <v>24</v>
      </c>
      <c r="J10" s="26" t="s">
        <v>26</v>
      </c>
      <c r="K10" s="27" t="s">
        <v>26</v>
      </c>
      <c r="L10" s="30" t="s">
        <v>26</v>
      </c>
      <c r="M10" s="31" t="s">
        <v>26</v>
      </c>
      <c r="N10" s="27" t="s">
        <v>25</v>
      </c>
      <c r="O10" s="24" t="s">
        <v>24</v>
      </c>
      <c r="P10" s="34" t="s">
        <v>26</v>
      </c>
      <c r="Q10" s="34" t="s">
        <v>26</v>
      </c>
      <c r="R10" s="27" t="s">
        <v>26</v>
      </c>
      <c r="S10" s="111"/>
      <c r="T10">
        <v>35</v>
      </c>
      <c r="W10" s="2"/>
      <c r="X10" s="2"/>
      <c r="Y10" s="72"/>
      <c r="AA10" s="73"/>
    </row>
    <row r="11" spans="2:27" ht="22" customHeight="1" x14ac:dyDescent="0.2">
      <c r="B11" s="108"/>
      <c r="C11" s="23" t="s">
        <v>35</v>
      </c>
      <c r="D11" s="24" t="s">
        <v>26</v>
      </c>
      <c r="E11" s="26" t="s">
        <v>25</v>
      </c>
      <c r="F11" s="34" t="s">
        <v>25</v>
      </c>
      <c r="G11" s="27" t="s">
        <v>26</v>
      </c>
      <c r="H11" s="33" t="s">
        <v>24</v>
      </c>
      <c r="I11" s="26" t="s">
        <v>26</v>
      </c>
      <c r="J11" s="25" t="s">
        <v>25</v>
      </c>
      <c r="K11" s="27" t="s">
        <v>26</v>
      </c>
      <c r="L11" s="24" t="s">
        <v>26</v>
      </c>
      <c r="M11" s="25" t="s">
        <v>24</v>
      </c>
      <c r="N11" s="32" t="s">
        <v>24</v>
      </c>
      <c r="O11" s="24" t="s">
        <v>24</v>
      </c>
      <c r="P11" s="34" t="s">
        <v>25</v>
      </c>
      <c r="Q11" s="26" t="s">
        <v>24</v>
      </c>
      <c r="R11" s="27" t="s">
        <v>24</v>
      </c>
      <c r="S11" s="111"/>
      <c r="T11">
        <v>40</v>
      </c>
      <c r="W11" s="2"/>
      <c r="X11" s="2"/>
      <c r="Y11" s="74"/>
      <c r="AA11" s="75"/>
    </row>
    <row r="12" spans="2:27" ht="22" customHeight="1" thickBot="1" x14ac:dyDescent="0.25">
      <c r="B12" s="109"/>
      <c r="C12" s="35" t="s">
        <v>36</v>
      </c>
      <c r="D12" s="42" t="s">
        <v>26</v>
      </c>
      <c r="E12" s="37" t="s">
        <v>26</v>
      </c>
      <c r="F12" s="38" t="s">
        <v>26</v>
      </c>
      <c r="G12" s="41" t="s">
        <v>26</v>
      </c>
      <c r="H12" s="36" t="s">
        <v>24</v>
      </c>
      <c r="I12" s="37" t="s">
        <v>25</v>
      </c>
      <c r="J12" s="40" t="s">
        <v>24</v>
      </c>
      <c r="K12" s="46" t="s">
        <v>26</v>
      </c>
      <c r="L12" s="42" t="s">
        <v>24</v>
      </c>
      <c r="M12" s="40" t="s">
        <v>26</v>
      </c>
      <c r="N12" s="41" t="s">
        <v>24</v>
      </c>
      <c r="O12" s="42" t="s">
        <v>26</v>
      </c>
      <c r="P12" s="38" t="s">
        <v>26</v>
      </c>
      <c r="Q12" s="40" t="s">
        <v>26</v>
      </c>
      <c r="R12" s="41" t="s">
        <v>26</v>
      </c>
      <c r="S12" s="111"/>
      <c r="T12">
        <v>5</v>
      </c>
    </row>
    <row r="13" spans="2:27" ht="22" customHeight="1" x14ac:dyDescent="0.2">
      <c r="B13" s="98" t="s">
        <v>5</v>
      </c>
      <c r="C13" s="15" t="s">
        <v>37</v>
      </c>
      <c r="D13" s="19" t="s">
        <v>25</v>
      </c>
      <c r="E13" s="22" t="s">
        <v>25</v>
      </c>
      <c r="F13" s="22" t="s">
        <v>25</v>
      </c>
      <c r="G13" s="43" t="s">
        <v>25</v>
      </c>
      <c r="H13" s="19" t="s">
        <v>24</v>
      </c>
      <c r="I13" s="20" t="s">
        <v>24</v>
      </c>
      <c r="J13" s="22" t="s">
        <v>25</v>
      </c>
      <c r="K13" s="47" t="s">
        <v>24</v>
      </c>
      <c r="L13" s="16" t="s">
        <v>24</v>
      </c>
      <c r="M13" s="20" t="s">
        <v>25</v>
      </c>
      <c r="N13" s="47" t="s">
        <v>24</v>
      </c>
      <c r="O13" s="21" t="s">
        <v>26</v>
      </c>
      <c r="P13" s="22" t="s">
        <v>25</v>
      </c>
      <c r="Q13" s="20" t="s">
        <v>26</v>
      </c>
      <c r="R13" s="47" t="s">
        <v>25</v>
      </c>
      <c r="S13" s="111">
        <v>25</v>
      </c>
      <c r="T13">
        <v>20</v>
      </c>
      <c r="Y13" s="76" t="s">
        <v>26</v>
      </c>
      <c r="Z13" s="62"/>
      <c r="AA13" s="63" t="s">
        <v>20</v>
      </c>
    </row>
    <row r="14" spans="2:27" ht="22" customHeight="1" x14ac:dyDescent="0.2">
      <c r="B14" s="108"/>
      <c r="C14" s="23" t="s">
        <v>38</v>
      </c>
      <c r="D14" s="24" t="s">
        <v>26</v>
      </c>
      <c r="E14" s="34" t="s">
        <v>24</v>
      </c>
      <c r="F14" s="34" t="s">
        <v>25</v>
      </c>
      <c r="G14" s="27" t="s">
        <v>25</v>
      </c>
      <c r="H14" s="33" t="s">
        <v>24</v>
      </c>
      <c r="I14" s="26" t="s">
        <v>25</v>
      </c>
      <c r="J14" s="26" t="s">
        <v>26</v>
      </c>
      <c r="K14" s="32" t="s">
        <v>25</v>
      </c>
      <c r="L14" s="33" t="s">
        <v>24</v>
      </c>
      <c r="M14" s="25" t="s">
        <v>24</v>
      </c>
      <c r="N14" s="32" t="s">
        <v>24</v>
      </c>
      <c r="O14" s="28" t="s">
        <v>26</v>
      </c>
      <c r="P14" s="34" t="s">
        <v>26</v>
      </c>
      <c r="Q14" s="25" t="s">
        <v>26</v>
      </c>
      <c r="R14" s="32" t="s">
        <v>26</v>
      </c>
      <c r="S14" s="111"/>
      <c r="T14">
        <v>40</v>
      </c>
      <c r="Y14" s="64" t="s">
        <v>25</v>
      </c>
      <c r="Z14" s="62"/>
      <c r="AA14" s="65" t="s">
        <v>41</v>
      </c>
    </row>
    <row r="15" spans="2:27" ht="22" customHeight="1" x14ac:dyDescent="0.2">
      <c r="B15" s="108"/>
      <c r="C15" s="23" t="s">
        <v>39</v>
      </c>
      <c r="D15" s="24" t="s">
        <v>26</v>
      </c>
      <c r="E15" s="34" t="s">
        <v>26</v>
      </c>
      <c r="F15" s="34" t="s">
        <v>25</v>
      </c>
      <c r="G15" s="27" t="s">
        <v>26</v>
      </c>
      <c r="H15" s="33" t="s">
        <v>24</v>
      </c>
      <c r="I15" s="26" t="s">
        <v>24</v>
      </c>
      <c r="J15" s="26" t="s">
        <v>25</v>
      </c>
      <c r="K15" s="32" t="s">
        <v>24</v>
      </c>
      <c r="L15" s="33" t="s">
        <v>24</v>
      </c>
      <c r="M15" s="25" t="s">
        <v>24</v>
      </c>
      <c r="N15" s="32" t="s">
        <v>24</v>
      </c>
      <c r="O15" s="28" t="s">
        <v>26</v>
      </c>
      <c r="P15" s="34" t="s">
        <v>26</v>
      </c>
      <c r="Q15" s="25" t="s">
        <v>26</v>
      </c>
      <c r="R15" s="32" t="s">
        <v>26</v>
      </c>
      <c r="S15" s="111"/>
      <c r="T15">
        <v>25</v>
      </c>
      <c r="Y15" s="66" t="s">
        <v>42</v>
      </c>
      <c r="Z15" s="62"/>
      <c r="AA15" s="67" t="s">
        <v>43</v>
      </c>
    </row>
    <row r="16" spans="2:27" ht="18" thickBot="1" x14ac:dyDescent="0.25">
      <c r="B16" s="110"/>
      <c r="C16" s="48" t="s">
        <v>8</v>
      </c>
      <c r="D16" s="49" t="s">
        <v>26</v>
      </c>
      <c r="E16" s="50" t="s">
        <v>26</v>
      </c>
      <c r="F16" s="50" t="s">
        <v>25</v>
      </c>
      <c r="G16" s="51" t="s">
        <v>24</v>
      </c>
      <c r="H16" s="52" t="s">
        <v>26</v>
      </c>
      <c r="I16" s="50" t="s">
        <v>26</v>
      </c>
      <c r="J16" s="53" t="s">
        <v>26</v>
      </c>
      <c r="K16" s="51" t="s">
        <v>26</v>
      </c>
      <c r="L16" s="52" t="s">
        <v>24</v>
      </c>
      <c r="M16" s="54" t="s">
        <v>24</v>
      </c>
      <c r="N16" s="55" t="s">
        <v>24</v>
      </c>
      <c r="O16" s="56" t="s">
        <v>24</v>
      </c>
      <c r="P16" s="50" t="s">
        <v>25</v>
      </c>
      <c r="Q16" s="53" t="s">
        <v>25</v>
      </c>
      <c r="R16" s="55" t="s">
        <v>24</v>
      </c>
      <c r="S16" s="111"/>
      <c r="T16">
        <v>15</v>
      </c>
    </row>
    <row r="17" spans="2:20" ht="22" customHeight="1" x14ac:dyDescent="0.2">
      <c r="B17" s="98" t="s">
        <v>0</v>
      </c>
      <c r="C17" s="15" t="s">
        <v>40</v>
      </c>
      <c r="D17" s="19" t="s">
        <v>26</v>
      </c>
      <c r="E17" s="20" t="s">
        <v>24</v>
      </c>
      <c r="F17" s="20" t="s">
        <v>25</v>
      </c>
      <c r="G17" s="18" t="s">
        <v>26</v>
      </c>
      <c r="H17" s="21" t="s">
        <v>24</v>
      </c>
      <c r="I17" s="20" t="s">
        <v>24</v>
      </c>
      <c r="J17" s="20" t="s">
        <v>24</v>
      </c>
      <c r="K17" s="43" t="s">
        <v>25</v>
      </c>
      <c r="L17" s="21" t="s">
        <v>26</v>
      </c>
      <c r="M17" s="22" t="s">
        <v>26</v>
      </c>
      <c r="N17" s="43" t="s">
        <v>26</v>
      </c>
      <c r="O17" s="16" t="s">
        <v>24</v>
      </c>
      <c r="P17" s="17" t="s">
        <v>24</v>
      </c>
      <c r="Q17" s="20" t="s">
        <v>26</v>
      </c>
      <c r="R17" s="18" t="s">
        <v>26</v>
      </c>
      <c r="S17" s="111">
        <v>15</v>
      </c>
      <c r="T17">
        <v>30</v>
      </c>
    </row>
    <row r="18" spans="2:20" ht="22" customHeight="1" x14ac:dyDescent="0.2">
      <c r="B18" s="99"/>
      <c r="C18" s="23" t="s">
        <v>70</v>
      </c>
      <c r="D18" s="33" t="s">
        <v>25</v>
      </c>
      <c r="E18" s="26" t="s">
        <v>26</v>
      </c>
      <c r="F18" s="34" t="s">
        <v>26</v>
      </c>
      <c r="G18" s="32" t="s">
        <v>25</v>
      </c>
      <c r="H18" s="33" t="s">
        <v>24</v>
      </c>
      <c r="I18" s="25" t="s">
        <v>24</v>
      </c>
      <c r="J18" s="26" t="s">
        <v>25</v>
      </c>
      <c r="K18" s="32" t="s">
        <v>24</v>
      </c>
      <c r="L18" s="24" t="s">
        <v>26</v>
      </c>
      <c r="M18" s="25" t="s">
        <v>24</v>
      </c>
      <c r="N18" s="32" t="s">
        <v>24</v>
      </c>
      <c r="O18" s="33" t="s">
        <v>26</v>
      </c>
      <c r="P18" s="26" t="s">
        <v>25</v>
      </c>
      <c r="Q18" s="25" t="s">
        <v>24</v>
      </c>
      <c r="R18" s="32" t="s">
        <v>24</v>
      </c>
      <c r="S18" s="111"/>
      <c r="T18">
        <v>45</v>
      </c>
    </row>
    <row r="19" spans="2:20" ht="17" x14ac:dyDescent="0.2">
      <c r="B19" s="99"/>
      <c r="C19" s="57" t="s">
        <v>18</v>
      </c>
      <c r="D19" s="33" t="s">
        <v>26</v>
      </c>
      <c r="E19" s="26" t="s">
        <v>24</v>
      </c>
      <c r="F19" s="34" t="s">
        <v>25</v>
      </c>
      <c r="G19" s="32" t="s">
        <v>24</v>
      </c>
      <c r="H19" s="33" t="s">
        <v>26</v>
      </c>
      <c r="I19" s="25" t="s">
        <v>24</v>
      </c>
      <c r="J19" s="26" t="s">
        <v>25</v>
      </c>
      <c r="K19" s="32" t="s">
        <v>24</v>
      </c>
      <c r="L19" s="24" t="s">
        <v>26</v>
      </c>
      <c r="M19" s="25" t="s">
        <v>26</v>
      </c>
      <c r="N19" s="32" t="s">
        <v>26</v>
      </c>
      <c r="O19" s="33" t="s">
        <v>25</v>
      </c>
      <c r="P19" s="26" t="s">
        <v>25</v>
      </c>
      <c r="Q19" s="25" t="s">
        <v>25</v>
      </c>
      <c r="R19" s="32" t="s">
        <v>26</v>
      </c>
      <c r="S19" s="111"/>
      <c r="T19">
        <v>15</v>
      </c>
    </row>
    <row r="20" spans="2:20" ht="28" customHeight="1" thickBot="1" x14ac:dyDescent="0.25">
      <c r="B20" s="100"/>
      <c r="C20" s="58" t="s">
        <v>19</v>
      </c>
      <c r="D20" s="59" t="s">
        <v>26</v>
      </c>
      <c r="E20" s="37" t="s">
        <v>24</v>
      </c>
      <c r="F20" s="38" t="s">
        <v>26</v>
      </c>
      <c r="G20" s="41" t="s">
        <v>26</v>
      </c>
      <c r="H20" s="42" t="s">
        <v>26</v>
      </c>
      <c r="I20" s="40" t="s">
        <v>26</v>
      </c>
      <c r="J20" s="40" t="s">
        <v>25</v>
      </c>
      <c r="K20" s="41" t="s">
        <v>26</v>
      </c>
      <c r="L20" s="60" t="s">
        <v>24</v>
      </c>
      <c r="M20" s="61" t="s">
        <v>25</v>
      </c>
      <c r="N20" s="41" t="s">
        <v>25</v>
      </c>
      <c r="O20" s="36" t="s">
        <v>26</v>
      </c>
      <c r="P20" s="37" t="s">
        <v>26</v>
      </c>
      <c r="Q20" s="37" t="s">
        <v>25</v>
      </c>
      <c r="R20" s="41" t="s">
        <v>26</v>
      </c>
      <c r="S20" s="111"/>
      <c r="T20">
        <v>10</v>
      </c>
    </row>
    <row r="21" spans="2:20" x14ac:dyDescent="0.2">
      <c r="C21" s="81" t="s">
        <v>47</v>
      </c>
      <c r="D21" s="112">
        <f>mid2right!C9</f>
        <v>20</v>
      </c>
      <c r="E21" s="112"/>
      <c r="F21" s="112"/>
      <c r="G21" s="112"/>
      <c r="H21" s="132">
        <f>mid2right!G9</f>
        <v>40</v>
      </c>
      <c r="I21" s="133"/>
      <c r="J21" s="133"/>
      <c r="K21" s="134"/>
      <c r="L21" s="112">
        <f>mid2right!K9</f>
        <v>25</v>
      </c>
      <c r="M21" s="112"/>
      <c r="N21" s="112"/>
      <c r="O21" s="132">
        <f>mid2right!N9</f>
        <v>15</v>
      </c>
      <c r="P21" s="133"/>
      <c r="Q21" s="133"/>
      <c r="R21" s="134"/>
    </row>
    <row r="22" spans="2:20" x14ac:dyDescent="0.2">
      <c r="C22" s="1" t="s">
        <v>79</v>
      </c>
      <c r="D22" s="116">
        <f t="shared" ref="D22:H22" si="0">COUNTIF(D6:D20,"S")</f>
        <v>1</v>
      </c>
      <c r="E22" s="116">
        <f t="shared" si="0"/>
        <v>8</v>
      </c>
      <c r="F22" s="116">
        <f t="shared" si="0"/>
        <v>2</v>
      </c>
      <c r="G22" s="116">
        <f t="shared" si="0"/>
        <v>4</v>
      </c>
      <c r="H22" s="120">
        <f t="shared" si="0"/>
        <v>10</v>
      </c>
      <c r="I22" s="121">
        <f>COUNTIF(I6:I20,"S")</f>
        <v>10</v>
      </c>
      <c r="J22" s="121">
        <f t="shared" ref="J22:R22" si="1">COUNTIF(J6:J20,"S")</f>
        <v>2</v>
      </c>
      <c r="K22" s="122">
        <f t="shared" si="1"/>
        <v>4</v>
      </c>
      <c r="L22" s="116">
        <f t="shared" si="1"/>
        <v>7</v>
      </c>
      <c r="M22" s="116">
        <f t="shared" si="1"/>
        <v>7</v>
      </c>
      <c r="N22" s="116">
        <f t="shared" si="1"/>
        <v>7</v>
      </c>
      <c r="O22" s="120">
        <f t="shared" si="1"/>
        <v>7</v>
      </c>
      <c r="P22" s="121">
        <f t="shared" si="1"/>
        <v>1</v>
      </c>
      <c r="Q22" s="121">
        <f t="shared" si="1"/>
        <v>2</v>
      </c>
      <c r="R22" s="122">
        <f t="shared" si="1"/>
        <v>3</v>
      </c>
    </row>
    <row r="23" spans="2:20" x14ac:dyDescent="0.2">
      <c r="C23" s="1" t="s">
        <v>80</v>
      </c>
      <c r="D23" s="116">
        <f>COUNTIF(mid2right!C4:C8, "S")*1</f>
        <v>1</v>
      </c>
      <c r="E23" s="116">
        <f>COUNTIF(mid2right!D4:D8, "S")*1</f>
        <v>3</v>
      </c>
      <c r="F23" s="116">
        <f>COUNTIF(mid2right!E4:E8, "S")*1</f>
        <v>1</v>
      </c>
      <c r="G23" s="116">
        <f>COUNTIF(mid2right!F4:F8, "S")*1</f>
        <v>2</v>
      </c>
      <c r="H23" s="120">
        <f>COUNTIF(mid2right!G4:G8, "S")*1</f>
        <v>4</v>
      </c>
      <c r="I23" s="121">
        <f>COUNTIF(mid2right!H4:H8, "S")*1</f>
        <v>4</v>
      </c>
      <c r="J23" s="121">
        <f>COUNTIF(mid2right!I4:I8, "S")*1</f>
        <v>2</v>
      </c>
      <c r="K23" s="122">
        <f>COUNTIF(mid2right!J4:J8, "S")*1</f>
        <v>2</v>
      </c>
      <c r="L23" s="116">
        <f>COUNTIF(mid2right!K4:K8, "S")*1</f>
        <v>1</v>
      </c>
      <c r="M23" s="116">
        <f>COUNTIF(mid2right!L4:L8, "S")*1</f>
        <v>1</v>
      </c>
      <c r="N23" s="116">
        <f>COUNTIF(mid2right!M4:M8, "S")*1</f>
        <v>2</v>
      </c>
      <c r="O23" s="120">
        <f>COUNTIF(mid2right!N4:N8, "S")*1</f>
        <v>3</v>
      </c>
      <c r="P23" s="121">
        <f>COUNTIF(mid2right!O4:O8, "S")*1</f>
        <v>3</v>
      </c>
      <c r="Q23" s="121">
        <f>COUNTIF(mid2right!P4:P8, "S")*1</f>
        <v>1</v>
      </c>
      <c r="R23" s="122">
        <f>COUNTIF(mid2right!Q4:Q8, "S")*1</f>
        <v>3</v>
      </c>
    </row>
    <row r="24" spans="2:20" x14ac:dyDescent="0.2">
      <c r="C24" s="1" t="s">
        <v>77</v>
      </c>
      <c r="D24" s="117">
        <f>COUNTIF(D6:D20,"M")</f>
        <v>3</v>
      </c>
      <c r="E24" s="117">
        <f t="shared" ref="E24:R24" si="2">COUNTIF(E6:E20,"M")</f>
        <v>3</v>
      </c>
      <c r="F24" s="117">
        <f t="shared" si="2"/>
        <v>7</v>
      </c>
      <c r="G24" s="117">
        <f t="shared" si="2"/>
        <v>4</v>
      </c>
      <c r="H24" s="123">
        <f t="shared" si="2"/>
        <v>1</v>
      </c>
      <c r="I24" s="124">
        <f t="shared" si="2"/>
        <v>2</v>
      </c>
      <c r="J24" s="124">
        <f t="shared" si="2"/>
        <v>7</v>
      </c>
      <c r="K24" s="125">
        <f t="shared" si="2"/>
        <v>4</v>
      </c>
      <c r="L24" s="117">
        <f t="shared" si="2"/>
        <v>0</v>
      </c>
      <c r="M24" s="117">
        <f t="shared" si="2"/>
        <v>2</v>
      </c>
      <c r="N24" s="117">
        <f t="shared" si="2"/>
        <v>4</v>
      </c>
      <c r="O24" s="123">
        <f t="shared" si="2"/>
        <v>2</v>
      </c>
      <c r="P24" s="124">
        <f t="shared" si="2"/>
        <v>7</v>
      </c>
      <c r="Q24" s="124">
        <f t="shared" si="2"/>
        <v>4</v>
      </c>
      <c r="R24" s="125">
        <f t="shared" si="2"/>
        <v>1</v>
      </c>
    </row>
    <row r="25" spans="2:20" x14ac:dyDescent="0.2">
      <c r="C25" s="1" t="s">
        <v>78</v>
      </c>
      <c r="D25" s="117">
        <f>COUNTIF(mid2right!C4:C8,"M")</f>
        <v>1</v>
      </c>
      <c r="E25" s="117">
        <f>COUNTIF(mid2right!D4:D8,"M")</f>
        <v>2</v>
      </c>
      <c r="F25" s="117">
        <f>COUNTIF(mid2right!E4:E8,"M")</f>
        <v>4</v>
      </c>
      <c r="G25" s="117">
        <f>COUNTIF(mid2right!F4:F8,"M")</f>
        <v>1</v>
      </c>
      <c r="H25" s="123">
        <f>COUNTIF(mid2right!G4:G8,"M")</f>
        <v>1</v>
      </c>
      <c r="I25" s="124">
        <f>COUNTIF(mid2right!H4:H8,"M")</f>
        <v>1</v>
      </c>
      <c r="J25" s="124">
        <f>COUNTIF(mid2right!I4:I8,"M")</f>
        <v>3</v>
      </c>
      <c r="K25" s="125">
        <f>COUNTIF(mid2right!J4:J8,"M")</f>
        <v>2</v>
      </c>
      <c r="L25" s="117">
        <f>COUNTIF(mid2right!K4:K8,"M")</f>
        <v>0</v>
      </c>
      <c r="M25" s="117">
        <f>COUNTIF(mid2right!L4:L8,"M")</f>
        <v>4</v>
      </c>
      <c r="N25" s="117">
        <f>COUNTIF(mid2right!M4:M8,"M")</f>
        <v>2</v>
      </c>
      <c r="O25" s="123">
        <f>COUNTIF(mid2right!N4:N8,"M")</f>
        <v>0</v>
      </c>
      <c r="P25" s="124">
        <f>COUNTIF(mid2right!O4:O8,"M")</f>
        <v>2</v>
      </c>
      <c r="Q25" s="124">
        <f>COUNTIF(mid2right!P4:P8,"M")</f>
        <v>0</v>
      </c>
      <c r="R25" s="125">
        <f>COUNTIF(mid2right!Q4:Q8,"M")</f>
        <v>1</v>
      </c>
    </row>
    <row r="26" spans="2:20" x14ac:dyDescent="0.2">
      <c r="C26" s="1" t="s">
        <v>71</v>
      </c>
      <c r="D26" s="1">
        <f t="shared" ref="D26:H26" si="3">3*SUM(D22:D23) + SUM(D24:D25)</f>
        <v>10</v>
      </c>
      <c r="E26" s="1">
        <f t="shared" si="3"/>
        <v>38</v>
      </c>
      <c r="F26" s="1">
        <f t="shared" si="3"/>
        <v>20</v>
      </c>
      <c r="G26" s="1">
        <f t="shared" si="3"/>
        <v>23</v>
      </c>
      <c r="H26" s="126">
        <f t="shared" si="3"/>
        <v>44</v>
      </c>
      <c r="I26" s="127">
        <f>3*SUM(I22:I23) + SUM(I24:I25)</f>
        <v>45</v>
      </c>
      <c r="J26" s="127">
        <f t="shared" ref="J26:R26" si="4">3*SUM(J22:J23) + SUM(J24:J25)</f>
        <v>22</v>
      </c>
      <c r="K26" s="128">
        <f t="shared" si="4"/>
        <v>24</v>
      </c>
      <c r="L26" s="1">
        <f t="shared" si="4"/>
        <v>24</v>
      </c>
      <c r="M26" s="1">
        <f t="shared" si="4"/>
        <v>30</v>
      </c>
      <c r="N26" s="1">
        <f t="shared" si="4"/>
        <v>33</v>
      </c>
      <c r="O26" s="126">
        <f t="shared" si="4"/>
        <v>32</v>
      </c>
      <c r="P26" s="127">
        <f t="shared" si="4"/>
        <v>21</v>
      </c>
      <c r="Q26" s="127">
        <f t="shared" si="4"/>
        <v>13</v>
      </c>
      <c r="R26" s="128">
        <f t="shared" si="4"/>
        <v>20</v>
      </c>
    </row>
    <row r="27" spans="2:20" x14ac:dyDescent="0.2">
      <c r="C27" s="1" t="s">
        <v>72</v>
      </c>
      <c r="D27" s="1">
        <f t="shared" ref="D27:H27" si="5">0.25*D26</f>
        <v>2.5</v>
      </c>
      <c r="E27" s="1">
        <f t="shared" si="5"/>
        <v>9.5</v>
      </c>
      <c r="F27" s="1">
        <f t="shared" si="5"/>
        <v>5</v>
      </c>
      <c r="G27" s="1">
        <f t="shared" si="5"/>
        <v>5.75</v>
      </c>
      <c r="H27" s="126">
        <f t="shared" si="5"/>
        <v>11</v>
      </c>
      <c r="I27" s="127">
        <f>0.25*I26</f>
        <v>11.25</v>
      </c>
      <c r="J27" s="127">
        <f t="shared" ref="J27:R27" si="6">0.25*J26</f>
        <v>5.5</v>
      </c>
      <c r="K27" s="128">
        <f t="shared" si="6"/>
        <v>6</v>
      </c>
      <c r="L27" s="1">
        <f t="shared" si="6"/>
        <v>6</v>
      </c>
      <c r="M27" s="1">
        <f t="shared" si="6"/>
        <v>7.5</v>
      </c>
      <c r="N27" s="1">
        <f t="shared" si="6"/>
        <v>8.25</v>
      </c>
      <c r="O27" s="126">
        <f t="shared" si="6"/>
        <v>8</v>
      </c>
      <c r="P27" s="127">
        <f t="shared" si="6"/>
        <v>5.25</v>
      </c>
      <c r="Q27" s="127">
        <f t="shared" si="6"/>
        <v>3.25</v>
      </c>
      <c r="R27" s="128">
        <f t="shared" si="6"/>
        <v>5</v>
      </c>
    </row>
    <row r="28" spans="2:20" x14ac:dyDescent="0.2">
      <c r="C28" s="118" t="s">
        <v>73</v>
      </c>
      <c r="D28" s="118">
        <f>mid2right!C10*mid2right!C9/100</f>
        <v>4</v>
      </c>
      <c r="E28" s="118">
        <f>mid2right!D10*mid2right!C9/100</f>
        <v>6</v>
      </c>
      <c r="F28" s="118">
        <f>mid2right!E10*mid2right!C9/100</f>
        <v>3</v>
      </c>
      <c r="G28" s="118">
        <f>mid2right!F10*mid2right!C9/100</f>
        <v>7</v>
      </c>
      <c r="H28" s="129">
        <f>mid2right!G10*mid2right!G9/100</f>
        <v>10</v>
      </c>
      <c r="I28" s="130">
        <f>mid2right!H10*mid2right!G9/100</f>
        <v>12</v>
      </c>
      <c r="J28" s="130">
        <f>mid2right!I10*mid2right!G9/100</f>
        <v>12</v>
      </c>
      <c r="K28" s="131">
        <f>mid2right!J10*mid2right!G9/100</f>
        <v>6</v>
      </c>
      <c r="L28" s="118">
        <f>mid2right!K10*mid2right!K9/100</f>
        <v>7.5</v>
      </c>
      <c r="M28" s="118">
        <f>mid2right!L10*mid2right!K9/100</f>
        <v>7.5</v>
      </c>
      <c r="N28" s="118">
        <f>mid2right!M10*mid2right!K9/100</f>
        <v>10</v>
      </c>
      <c r="O28" s="129">
        <f>mid2right!N10*mid2right!N9/100</f>
        <v>5.25</v>
      </c>
      <c r="P28" s="130">
        <f>mid2right!O10*mid2right!N9/100</f>
        <v>3.75</v>
      </c>
      <c r="Q28" s="130">
        <f>mid2right!P10*mid2right!N9/100</f>
        <v>3.75</v>
      </c>
      <c r="R28" s="131">
        <f>mid2right!Q10*mid2right!N9/100</f>
        <v>2.25</v>
      </c>
    </row>
    <row r="29" spans="2:20" ht="17" thickBot="1" x14ac:dyDescent="0.25">
      <c r="C29" s="118" t="s">
        <v>74</v>
      </c>
      <c r="D29" s="118">
        <f>mid2right!C10</f>
        <v>20</v>
      </c>
      <c r="E29" s="118">
        <f>mid2right!D10</f>
        <v>30</v>
      </c>
      <c r="F29" s="118">
        <f>mid2right!E10</f>
        <v>15</v>
      </c>
      <c r="G29" s="118">
        <f>mid2right!F10</f>
        <v>35</v>
      </c>
      <c r="H29" s="135">
        <f>mid2right!G10</f>
        <v>25</v>
      </c>
      <c r="I29" s="136">
        <f>mid2right!H10</f>
        <v>30</v>
      </c>
      <c r="J29" s="136">
        <f>mid2right!I10</f>
        <v>30</v>
      </c>
      <c r="K29" s="137">
        <f>mid2right!J10</f>
        <v>15</v>
      </c>
      <c r="L29" s="118">
        <f>mid2right!K10</f>
        <v>30</v>
      </c>
      <c r="M29" s="118">
        <f>mid2right!L10</f>
        <v>30</v>
      </c>
      <c r="N29" s="118">
        <f>mid2right!M10</f>
        <v>40</v>
      </c>
      <c r="O29" s="135">
        <f>mid2right!N10</f>
        <v>35</v>
      </c>
      <c r="P29" s="136">
        <f>mid2right!O10</f>
        <v>25</v>
      </c>
      <c r="Q29" s="136">
        <f>mid2right!P10</f>
        <v>25</v>
      </c>
      <c r="R29" s="137">
        <f>mid2right!Q10</f>
        <v>15</v>
      </c>
    </row>
    <row r="30" spans="2:20" x14ac:dyDescent="0.2">
      <c r="C30" s="1" t="s">
        <v>75</v>
      </c>
      <c r="D30" s="1">
        <f>0.75*D28*D29</f>
        <v>60</v>
      </c>
      <c r="E30" s="1">
        <f t="shared" ref="E30:R30" si="7">0.75*E28*E29</f>
        <v>135</v>
      </c>
      <c r="F30" s="1">
        <f t="shared" si="7"/>
        <v>33.75</v>
      </c>
      <c r="G30" s="1">
        <f t="shared" si="7"/>
        <v>183.75</v>
      </c>
      <c r="H30" s="1">
        <f t="shared" si="7"/>
        <v>187.5</v>
      </c>
      <c r="I30" s="1">
        <f t="shared" si="7"/>
        <v>270</v>
      </c>
      <c r="J30" s="1">
        <f t="shared" si="7"/>
        <v>270</v>
      </c>
      <c r="K30" s="1">
        <f t="shared" si="7"/>
        <v>67.5</v>
      </c>
      <c r="L30" s="1">
        <f t="shared" si="7"/>
        <v>168.75</v>
      </c>
      <c r="M30" s="1">
        <f t="shared" si="7"/>
        <v>168.75</v>
      </c>
      <c r="N30" s="1">
        <f t="shared" si="7"/>
        <v>300</v>
      </c>
      <c r="O30" s="1">
        <f t="shared" si="7"/>
        <v>137.8125</v>
      </c>
      <c r="P30" s="1">
        <f t="shared" si="7"/>
        <v>70.3125</v>
      </c>
      <c r="Q30" s="1">
        <f t="shared" si="7"/>
        <v>70.3125</v>
      </c>
      <c r="R30" s="1">
        <f t="shared" si="7"/>
        <v>25.3125</v>
      </c>
    </row>
    <row r="31" spans="2:20" x14ac:dyDescent="0.2">
      <c r="C31" s="1" t="s">
        <v>76</v>
      </c>
      <c r="D31" s="1">
        <f t="shared" ref="D31:H31" si="8">D30+D27</f>
        <v>62.5</v>
      </c>
      <c r="E31" s="1">
        <f t="shared" si="8"/>
        <v>144.5</v>
      </c>
      <c r="F31" s="1">
        <f t="shared" si="8"/>
        <v>38.75</v>
      </c>
      <c r="G31" s="1">
        <f t="shared" si="8"/>
        <v>189.5</v>
      </c>
      <c r="H31" s="1">
        <f t="shared" si="8"/>
        <v>198.5</v>
      </c>
      <c r="I31" s="1">
        <f>I30+I27</f>
        <v>281.25</v>
      </c>
      <c r="J31" s="1">
        <f t="shared" ref="J31:R31" si="9">J30+J27</f>
        <v>275.5</v>
      </c>
      <c r="K31" s="1">
        <f t="shared" si="9"/>
        <v>73.5</v>
      </c>
      <c r="L31" s="1">
        <f t="shared" si="9"/>
        <v>174.75</v>
      </c>
      <c r="M31" s="1">
        <f t="shared" si="9"/>
        <v>176.25</v>
      </c>
      <c r="N31" s="1">
        <f t="shared" si="9"/>
        <v>308.25</v>
      </c>
      <c r="O31" s="1">
        <f t="shared" si="9"/>
        <v>145.8125</v>
      </c>
      <c r="P31" s="1">
        <f t="shared" si="9"/>
        <v>75.5625</v>
      </c>
      <c r="Q31" s="1">
        <f t="shared" si="9"/>
        <v>73.5625</v>
      </c>
      <c r="R31" s="1">
        <f t="shared" si="9"/>
        <v>30.3125</v>
      </c>
    </row>
    <row r="32" spans="2:20" x14ac:dyDescent="0.2">
      <c r="C32" s="1" t="s">
        <v>81</v>
      </c>
      <c r="D32" s="1">
        <f>_xlfn.RANK.EQ(D31,$D$31:$R$31)</f>
        <v>13</v>
      </c>
      <c r="E32" s="1">
        <f t="shared" ref="E32:R32" si="10">_xlfn.RANK.EQ(E31,$D$31:$R$31)</f>
        <v>9</v>
      </c>
      <c r="F32" s="1">
        <f t="shared" si="10"/>
        <v>14</v>
      </c>
      <c r="G32" s="1">
        <f t="shared" si="10"/>
        <v>5</v>
      </c>
      <c r="H32" s="1">
        <f t="shared" si="10"/>
        <v>4</v>
      </c>
      <c r="I32" s="1">
        <f t="shared" si="10"/>
        <v>2</v>
      </c>
      <c r="J32" s="1">
        <f t="shared" si="10"/>
        <v>3</v>
      </c>
      <c r="K32" s="1">
        <f t="shared" si="10"/>
        <v>12</v>
      </c>
      <c r="L32" s="1">
        <f t="shared" si="10"/>
        <v>7</v>
      </c>
      <c r="M32" s="1">
        <f t="shared" si="10"/>
        <v>6</v>
      </c>
      <c r="N32" s="1">
        <f t="shared" si="10"/>
        <v>1</v>
      </c>
      <c r="O32" s="1">
        <f t="shared" si="10"/>
        <v>8</v>
      </c>
      <c r="P32" s="1">
        <f t="shared" si="10"/>
        <v>10</v>
      </c>
      <c r="Q32" s="1">
        <f t="shared" si="10"/>
        <v>11</v>
      </c>
      <c r="R32" s="1">
        <f t="shared" si="10"/>
        <v>15</v>
      </c>
    </row>
  </sheetData>
  <mergeCells count="17">
    <mergeCell ref="S6:S8"/>
    <mergeCell ref="S9:S12"/>
    <mergeCell ref="S13:S16"/>
    <mergeCell ref="S17:S20"/>
    <mergeCell ref="D21:G21"/>
    <mergeCell ref="H21:K21"/>
    <mergeCell ref="L21:N21"/>
    <mergeCell ref="O21:R21"/>
    <mergeCell ref="B17:B20"/>
    <mergeCell ref="B4:C5"/>
    <mergeCell ref="O4:R4"/>
    <mergeCell ref="B9:B12"/>
    <mergeCell ref="B13:B16"/>
    <mergeCell ref="B6:B8"/>
    <mergeCell ref="D4:G4"/>
    <mergeCell ref="H4:K4"/>
    <mergeCell ref="L4:N4"/>
  </mergeCells>
  <conditionalFormatting sqref="D6:R20">
    <cfRule type="containsText" dxfId="7" priority="2" operator="containsText" text="M">
      <formula>NOT(ISERROR(SEARCH("M",D6)))</formula>
    </cfRule>
    <cfRule type="containsText" dxfId="6" priority="3" operator="containsText" text="W">
      <formula>NOT(ISERROR(SEARCH("W",D6)))</formula>
    </cfRule>
    <cfRule type="containsText" dxfId="5" priority="4" operator="containsText" text="S">
      <formula>NOT(ISERROR(SEARCH("S",D6)))</formula>
    </cfRule>
    <cfRule type="containsText" dxfId="4" priority="5" operator="containsText" text="N">
      <formula>NOT(ISERROR(SEARCH("N",D6)))</formula>
    </cfRule>
  </conditionalFormatting>
  <conditionalFormatting sqref="D31:R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1"/>
  <sheetViews>
    <sheetView zoomScale="162" workbookViewId="0">
      <selection activeCell="M12" sqref="M12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3" width="4.83203125" customWidth="1"/>
    <col min="4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82"/>
      <c r="C2" s="105" t="s">
        <v>48</v>
      </c>
      <c r="D2" s="106"/>
      <c r="E2" s="106"/>
      <c r="F2" s="107"/>
      <c r="G2" s="105" t="s">
        <v>27</v>
      </c>
      <c r="H2" s="106"/>
      <c r="I2" s="106"/>
      <c r="J2" s="107"/>
      <c r="K2" s="105" t="s">
        <v>28</v>
      </c>
      <c r="L2" s="106"/>
      <c r="M2" s="107"/>
      <c r="N2" s="105" t="s">
        <v>29</v>
      </c>
      <c r="O2" s="106"/>
      <c r="P2" s="106"/>
      <c r="Q2" s="107"/>
      <c r="R2" s="80" t="s">
        <v>47</v>
      </c>
    </row>
    <row r="3" spans="1:18" ht="131" customHeight="1" thickBot="1" x14ac:dyDescent="0.25">
      <c r="A3" s="1"/>
      <c r="B3" s="91"/>
      <c r="C3" s="83" t="str">
        <f>'Relationship Matrix'!D5</f>
        <v>Data integration</v>
      </c>
      <c r="D3" s="83" t="str">
        <f>'Relationship Matrix'!E5</f>
        <v>Rationale</v>
      </c>
      <c r="E3" s="83" t="str">
        <f>'Relationship Matrix'!F5</f>
        <v>Comparative learning</v>
      </c>
      <c r="F3" s="83" t="str">
        <f>'Relationship Matrix'!G5</f>
        <v>Context mapping</v>
      </c>
      <c r="G3" s="83" t="str">
        <f>'Relationship Matrix'!H5</f>
        <v>Functionality</v>
      </c>
      <c r="H3" s="83" t="str">
        <f>'Relationship Matrix'!I5</f>
        <v>Aesthetics</v>
      </c>
      <c r="I3" s="83" t="str">
        <f>'Relationship Matrix'!J5</f>
        <v>Social value &amp; wellbeing</v>
      </c>
      <c r="J3" s="83" t="str">
        <f>'Relationship Matrix'!K5</f>
        <v>Assembly resolution</v>
      </c>
      <c r="K3" s="83" t="str">
        <f>'Relationship Matrix'!L5</f>
        <v>Cost estimate</v>
      </c>
      <c r="L3" s="83" t="str">
        <f>'Relationship Matrix'!M5</f>
        <v>Code compliance</v>
      </c>
      <c r="M3" s="83" t="str">
        <f>'Relationship Matrix'!N5</f>
        <v>Environmental impact</v>
      </c>
      <c r="N3" s="83" t="str">
        <f>'Relationship Matrix'!O5</f>
        <v>Structured narrative</v>
      </c>
      <c r="O3" s="83" t="str">
        <f>'Relationship Matrix'!P5</f>
        <v>Collaborative dialogue</v>
      </c>
      <c r="P3" s="83" t="str">
        <f>'Relationship Matrix'!Q5</f>
        <v>Completeness</v>
      </c>
      <c r="Q3" s="83" t="str">
        <f>'Relationship Matrix'!R5</f>
        <v>Standards &amp; conventions</v>
      </c>
      <c r="R3" s="78"/>
    </row>
    <row r="4" spans="1:18" ht="17" x14ac:dyDescent="0.2">
      <c r="A4" s="1">
        <v>0</v>
      </c>
      <c r="B4" s="92" t="s">
        <v>44</v>
      </c>
      <c r="C4" s="8" t="s">
        <v>26</v>
      </c>
      <c r="D4" s="7" t="s">
        <v>24</v>
      </c>
      <c r="E4" s="4" t="s">
        <v>25</v>
      </c>
      <c r="F4" s="9" t="s">
        <v>25</v>
      </c>
      <c r="G4" s="10" t="s">
        <v>24</v>
      </c>
      <c r="H4" s="4" t="s">
        <v>24</v>
      </c>
      <c r="I4" s="7" t="s">
        <v>24</v>
      </c>
      <c r="J4" s="11" t="s">
        <v>24</v>
      </c>
      <c r="K4" s="87" t="s">
        <v>26</v>
      </c>
      <c r="L4" s="77" t="s">
        <v>25</v>
      </c>
      <c r="M4" s="6" t="s">
        <v>24</v>
      </c>
      <c r="N4" s="3" t="s">
        <v>26</v>
      </c>
      <c r="O4" s="4" t="s">
        <v>24</v>
      </c>
      <c r="P4" s="5" t="s">
        <v>26</v>
      </c>
      <c r="Q4" s="9" t="s">
        <v>24</v>
      </c>
      <c r="R4" s="78">
        <v>40</v>
      </c>
    </row>
    <row r="5" spans="1:18" ht="17" x14ac:dyDescent="0.2">
      <c r="A5" s="1">
        <v>1</v>
      </c>
      <c r="B5" s="93" t="s">
        <v>45</v>
      </c>
      <c r="C5" s="10" t="s">
        <v>24</v>
      </c>
      <c r="D5" s="4" t="s">
        <v>24</v>
      </c>
      <c r="E5" s="5" t="s">
        <v>24</v>
      </c>
      <c r="F5" s="9" t="s">
        <v>24</v>
      </c>
      <c r="G5" s="8" t="s">
        <v>24</v>
      </c>
      <c r="H5" s="7" t="s">
        <v>24</v>
      </c>
      <c r="I5" s="4" t="s">
        <v>24</v>
      </c>
      <c r="J5" s="9" t="s">
        <v>24</v>
      </c>
      <c r="K5" s="87" t="s">
        <v>24</v>
      </c>
      <c r="L5" s="77" t="s">
        <v>24</v>
      </c>
      <c r="M5" s="9" t="s">
        <v>24</v>
      </c>
      <c r="N5" s="8" t="s">
        <v>24</v>
      </c>
      <c r="O5" s="5" t="s">
        <v>25</v>
      </c>
      <c r="P5" s="5" t="s">
        <v>26</v>
      </c>
      <c r="Q5" s="9" t="s">
        <v>24</v>
      </c>
      <c r="R5" s="78">
        <v>25</v>
      </c>
    </row>
    <row r="6" spans="1:18" ht="17" x14ac:dyDescent="0.2">
      <c r="A6" s="1">
        <v>2</v>
      </c>
      <c r="B6" s="93" t="s">
        <v>46</v>
      </c>
      <c r="C6" s="8" t="s">
        <v>25</v>
      </c>
      <c r="D6" s="7" t="s">
        <v>25</v>
      </c>
      <c r="E6" s="4" t="s">
        <v>25</v>
      </c>
      <c r="F6" s="9" t="s">
        <v>26</v>
      </c>
      <c r="G6" s="8" t="s">
        <v>24</v>
      </c>
      <c r="H6" s="7" t="s">
        <v>24</v>
      </c>
      <c r="I6" s="7" t="s">
        <v>25</v>
      </c>
      <c r="J6" s="11" t="s">
        <v>25</v>
      </c>
      <c r="K6" s="87" t="s">
        <v>26</v>
      </c>
      <c r="L6" s="77" t="s">
        <v>25</v>
      </c>
      <c r="M6" s="9" t="s">
        <v>25</v>
      </c>
      <c r="N6" s="3" t="s">
        <v>26</v>
      </c>
      <c r="O6" s="4" t="s">
        <v>24</v>
      </c>
      <c r="P6" s="5" t="s">
        <v>26</v>
      </c>
      <c r="Q6" s="11" t="s">
        <v>25</v>
      </c>
      <c r="R6" s="78">
        <v>15</v>
      </c>
    </row>
    <row r="7" spans="1:18" ht="17" x14ac:dyDescent="0.2">
      <c r="A7" s="1">
        <v>3</v>
      </c>
      <c r="B7" s="94" t="s">
        <v>30</v>
      </c>
      <c r="C7" s="3" t="s">
        <v>26</v>
      </c>
      <c r="D7" s="4" t="s">
        <v>24</v>
      </c>
      <c r="E7" s="5" t="s">
        <v>25</v>
      </c>
      <c r="F7" s="6" t="s">
        <v>24</v>
      </c>
      <c r="G7" s="3" t="s">
        <v>24</v>
      </c>
      <c r="H7" s="4" t="s">
        <v>24</v>
      </c>
      <c r="I7" s="7" t="s">
        <v>25</v>
      </c>
      <c r="J7" s="9" t="s">
        <v>26</v>
      </c>
      <c r="K7" s="8" t="s">
        <v>26</v>
      </c>
      <c r="L7" s="7" t="s">
        <v>25</v>
      </c>
      <c r="M7" s="6" t="s">
        <v>25</v>
      </c>
      <c r="N7" s="8" t="s">
        <v>24</v>
      </c>
      <c r="O7" s="5" t="s">
        <v>25</v>
      </c>
      <c r="P7" s="5" t="s">
        <v>26</v>
      </c>
      <c r="Q7" s="9" t="s">
        <v>26</v>
      </c>
      <c r="R7" s="78">
        <v>10</v>
      </c>
    </row>
    <row r="8" spans="1:18" ht="17" x14ac:dyDescent="0.2">
      <c r="A8" s="1">
        <v>4</v>
      </c>
      <c r="B8" s="93" t="s">
        <v>31</v>
      </c>
      <c r="C8" s="8" t="s">
        <v>26</v>
      </c>
      <c r="D8" s="4" t="s">
        <v>25</v>
      </c>
      <c r="E8" s="5" t="s">
        <v>25</v>
      </c>
      <c r="F8" s="5" t="s">
        <v>26</v>
      </c>
      <c r="G8" s="5" t="s">
        <v>25</v>
      </c>
      <c r="H8" s="5" t="s">
        <v>25</v>
      </c>
      <c r="I8" s="5" t="s">
        <v>25</v>
      </c>
      <c r="J8" s="5" t="s">
        <v>25</v>
      </c>
      <c r="K8" s="8" t="s">
        <v>26</v>
      </c>
      <c r="L8" s="7" t="s">
        <v>25</v>
      </c>
      <c r="M8" s="6" t="s">
        <v>26</v>
      </c>
      <c r="N8" s="8" t="s">
        <v>24</v>
      </c>
      <c r="O8" s="5" t="s">
        <v>24</v>
      </c>
      <c r="P8" s="4" t="s">
        <v>24</v>
      </c>
      <c r="Q8" s="9" t="s">
        <v>24</v>
      </c>
      <c r="R8" s="78">
        <v>10</v>
      </c>
    </row>
    <row r="9" spans="1:18" ht="17" x14ac:dyDescent="0.2">
      <c r="B9" s="95" t="s">
        <v>47</v>
      </c>
      <c r="C9" s="113">
        <v>20</v>
      </c>
      <c r="D9" s="114"/>
      <c r="E9" s="114"/>
      <c r="F9" s="115"/>
      <c r="G9" s="113">
        <v>40</v>
      </c>
      <c r="H9" s="114"/>
      <c r="I9" s="114"/>
      <c r="J9" s="115"/>
      <c r="K9" s="113">
        <v>25</v>
      </c>
      <c r="L9" s="114"/>
      <c r="M9" s="115"/>
      <c r="N9" s="113">
        <v>15</v>
      </c>
      <c r="O9" s="114"/>
      <c r="P9" s="114"/>
      <c r="Q9" s="115"/>
    </row>
    <row r="10" spans="1:18" ht="18" thickBot="1" x14ac:dyDescent="0.25">
      <c r="B10" s="96" t="s">
        <v>49</v>
      </c>
      <c r="C10" s="84">
        <v>20</v>
      </c>
      <c r="D10" s="85">
        <v>30</v>
      </c>
      <c r="E10" s="85">
        <v>15</v>
      </c>
      <c r="F10" s="86">
        <v>35</v>
      </c>
      <c r="G10" s="84">
        <v>25</v>
      </c>
      <c r="H10" s="85">
        <v>30</v>
      </c>
      <c r="I10" s="85">
        <v>30</v>
      </c>
      <c r="J10" s="86">
        <v>15</v>
      </c>
      <c r="K10" s="84">
        <v>30</v>
      </c>
      <c r="L10" s="85">
        <v>30</v>
      </c>
      <c r="M10" s="86">
        <v>40</v>
      </c>
      <c r="N10" s="84">
        <v>35</v>
      </c>
      <c r="O10" s="85">
        <v>25</v>
      </c>
      <c r="P10" s="85">
        <v>25</v>
      </c>
      <c r="Q10" s="86">
        <v>15</v>
      </c>
    </row>
    <row r="11" spans="1:18" x14ac:dyDescent="0.2">
      <c r="C11" s="119"/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11" priority="1" operator="containsText" text="M">
      <formula>NOT(ISERROR(SEARCH("M",C4)))</formula>
    </cfRule>
    <cfRule type="containsText" dxfId="10" priority="2" operator="containsText" text="W">
      <formula>NOT(ISERROR(SEARCH("W",C4)))</formula>
    </cfRule>
    <cfRule type="containsText" dxfId="9" priority="3" operator="containsText" text="S">
      <formula>NOT(ISERROR(SEARCH("S",C4)))</formula>
    </cfRule>
    <cfRule type="containsText" dxfId="8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B7" sqref="B7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  <col min="4" max="4" width="13.33203125" customWidth="1"/>
  </cols>
  <sheetData>
    <row r="1" spans="1:6" x14ac:dyDescent="0.2">
      <c r="A1" s="89" t="s">
        <v>65</v>
      </c>
      <c r="B1" s="90" t="s">
        <v>51</v>
      </c>
      <c r="C1" s="90"/>
      <c r="D1" s="90"/>
      <c r="E1" s="90"/>
      <c r="F1" s="90"/>
    </row>
    <row r="2" spans="1:6" x14ac:dyDescent="0.2">
      <c r="A2" s="89" t="s">
        <v>52</v>
      </c>
      <c r="B2" s="90" t="s">
        <v>69</v>
      </c>
      <c r="C2" s="90" t="s">
        <v>68</v>
      </c>
      <c r="D2" s="90" t="s">
        <v>67</v>
      </c>
      <c r="E2" s="90"/>
      <c r="F2" s="90"/>
    </row>
    <row r="3" spans="1:6" x14ac:dyDescent="0.2">
      <c r="A3" s="89" t="s">
        <v>53</v>
      </c>
      <c r="B3" s="90">
        <v>663366</v>
      </c>
      <c r="C3" s="90" t="s">
        <v>54</v>
      </c>
      <c r="D3" s="90" t="s">
        <v>55</v>
      </c>
      <c r="E3" s="90" t="s">
        <v>56</v>
      </c>
      <c r="F3" s="90"/>
    </row>
    <row r="4" spans="1:6" x14ac:dyDescent="0.2">
      <c r="A4" s="89" t="s">
        <v>57</v>
      </c>
      <c r="B4" s="90" t="s">
        <v>58</v>
      </c>
      <c r="C4" s="90">
        <v>339966</v>
      </c>
      <c r="D4" s="90">
        <v>339999</v>
      </c>
      <c r="E4" s="90">
        <v>666699</v>
      </c>
      <c r="F4" s="90"/>
    </row>
    <row r="5" spans="1:6" x14ac:dyDescent="0.2">
      <c r="A5" s="89" t="s">
        <v>59</v>
      </c>
      <c r="B5" s="90" t="s">
        <v>60</v>
      </c>
      <c r="C5" s="90" t="s">
        <v>61</v>
      </c>
      <c r="D5" s="90" t="s">
        <v>62</v>
      </c>
      <c r="E5" s="90" t="s">
        <v>63</v>
      </c>
      <c r="F5" s="90" t="s">
        <v>64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2026-04-10T16:51:24Z</dcterms:modified>
  <cp:category/>
  <cp:contentStatus/>
</cp:coreProperties>
</file>